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960" firstSheet="0" activeTab="0" autoFilterDateGrouping="1"/>
  </bookViews>
  <sheets>
    <sheet xmlns:r="http://schemas.openxmlformats.org/officeDocument/2006/relationships" name="Ведомость" sheetId="1" state="visible" r:id="rId1"/>
    <sheet xmlns:r="http://schemas.openxmlformats.org/officeDocument/2006/relationships" name="Страница 2" sheetId="2" state="visible" r:id="rId2"/>
  </sheets>
  <definedNames>
    <definedName name="__xlnm._FilterDatabase">#REF!</definedName>
    <definedName name="f">#REF!</definedName>
    <definedName name="__xlnm._FilterDatabase" localSheetId="0">#REF!</definedName>
    <definedName name="__xlnm._FilterDatabase" localSheetId="1">#REF!</definedName>
    <definedName name="f" localSheetId="1">#REF!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#,##0.00&quot;р.&quot;"/>
    <numFmt numFmtId="166" formatCode="[$-FC19]dd\ mmmm\ yyyy\ \г\.;@"/>
  </numFmts>
  <fonts count="15">
    <font>
      <name val="Arial"/>
      <charset val="204"/>
      <family val="2"/>
      <sz val="8"/>
    </font>
    <font>
      <name val="Calibri"/>
      <charset val="204"/>
      <family val="2"/>
      <color indexed="8"/>
      <sz val="11"/>
    </font>
    <font>
      <name val="Times New Roman"/>
      <charset val="204"/>
      <family val="1"/>
      <sz val="9"/>
    </font>
    <font>
      <name val="Times New Roman"/>
      <charset val="204"/>
      <family val="1"/>
      <b val="1"/>
      <color rgb="FFFF0000"/>
      <sz val="9"/>
    </font>
    <font>
      <name val="Times New Roman"/>
      <charset val="204"/>
      <family val="1"/>
      <b val="1"/>
      <sz val="9"/>
    </font>
    <font>
      <name val="Times New Roman"/>
      <charset val="204"/>
      <family val="1"/>
      <color rgb="FF0070C0"/>
      <sz val="9"/>
    </font>
    <font>
      <name val="Times New Roman"/>
      <charset val="204"/>
      <family val="1"/>
      <b val="1"/>
      <color rgb="FF0070C0"/>
      <sz val="9"/>
    </font>
    <font>
      <name val="Times New Roman"/>
      <charset val="204"/>
      <family val="1"/>
      <b val="1"/>
      <sz val="8"/>
    </font>
    <font>
      <name val="Arial"/>
      <charset val="204"/>
      <family val="2"/>
      <sz val="8"/>
    </font>
    <font>
      <name val="Times New Roman"/>
      <charset val="204"/>
      <family val="1"/>
      <sz val="10"/>
    </font>
    <font>
      <name val="Arial"/>
      <charset val="204"/>
      <family val="2"/>
      <color rgb="FF000000"/>
      <sz val="12"/>
    </font>
    <font>
      <name val="Times New Roman"/>
      <charset val="204"/>
      <family val="1"/>
      <b val="1"/>
      <color indexed="8"/>
      <sz val="9"/>
    </font>
    <font>
      <name val="Arial Narrow"/>
      <charset val="204"/>
      <family val="2"/>
      <b val="1"/>
      <color rgb="FF000000"/>
      <sz val="8"/>
    </font>
    <font>
      <name val="Arial Narrow"/>
      <charset val="204"/>
      <family val="2"/>
      <color rgb="FF000000"/>
      <sz val="9"/>
    </font>
    <font>
      <name val="Arial Narrow"/>
      <charset val="204"/>
      <family val="2"/>
      <b val="1"/>
      <color rgb="FF000000"/>
      <sz val="9"/>
    </font>
  </fonts>
  <fills count="3">
    <fill>
      <patternFill/>
    </fill>
    <fill>
      <patternFill patternType="gray125"/>
    </fill>
    <fill>
      <patternFill patternType="solid">
        <fgColor indexed="1"/>
      </patternFill>
    </fill>
  </fills>
  <borders count="4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rgb="FF0070C0"/>
      </left>
      <right/>
      <top style="double">
        <color rgb="FF0070C0"/>
      </top>
      <bottom style="double">
        <color rgb="FF0070C0"/>
      </bottom>
      <diagonal/>
    </border>
    <border>
      <left/>
      <right/>
      <top style="double">
        <color rgb="FF0070C0"/>
      </top>
      <bottom style="double">
        <color rgb="FF0070C0"/>
      </bottom>
      <diagonal/>
    </border>
    <border>
      <left/>
      <right style="double">
        <color rgb="FF0070C0"/>
      </right>
      <top style="double">
        <color rgb="FF0070C0"/>
      </top>
      <bottom style="double">
        <color rgb="FF0070C0"/>
      </bottom>
      <diagonal/>
    </border>
    <border>
      <left style="double">
        <color rgb="FF0070C0"/>
      </left>
      <right style="double">
        <color rgb="FF0070C0"/>
      </right>
      <top style="double">
        <color rgb="FF0070C0"/>
      </top>
      <bottom style="double">
        <color rgb="FF007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double">
        <color rgb="FF0070C0"/>
      </top>
      <bottom/>
      <diagonal/>
    </border>
    <border>
      <left/>
      <right style="double">
        <color rgb="FF0070C0"/>
      </right>
      <top style="double">
        <color rgb="FF0070C0"/>
      </top>
      <bottom/>
      <diagonal/>
    </border>
  </borders>
  <cellStyleXfs count="4">
    <xf numFmtId="0" fontId="8" fillId="0" borderId="0" applyAlignment="1">
      <alignment horizontal="left"/>
    </xf>
    <xf numFmtId="0" fontId="1" fillId="0" borderId="0"/>
    <xf numFmtId="0" fontId="8" fillId="0" borderId="0" applyAlignment="1">
      <alignment horizontal="left"/>
    </xf>
    <xf numFmtId="0" fontId="10" fillId="0" borderId="0" applyAlignment="1">
      <alignment horizontal="left" vertical="top" wrapText="1"/>
    </xf>
  </cellStyleXfs>
  <cellXfs count="104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1">
      <alignment horizontal="left"/>
    </xf>
    <xf numFmtId="0" fontId="4" fillId="0" borderId="0" pivotButton="0" quotePrefix="0" xfId="1"/>
    <xf numFmtId="1" fontId="4" fillId="0" borderId="7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4" applyAlignment="1" pivotButton="0" quotePrefix="0" xfId="0">
      <alignment horizontal="right" vertical="center"/>
    </xf>
    <xf numFmtId="0" fontId="4" fillId="0" borderId="8" applyAlignment="1" pivotButton="0" quotePrefix="0" xfId="0">
      <alignment horizontal="right" vertical="center"/>
    </xf>
    <xf numFmtId="0" fontId="4" fillId="0" borderId="9" applyAlignment="1" pivotButton="0" quotePrefix="0" xfId="0">
      <alignment horizontal="right" vertical="center"/>
    </xf>
    <xf numFmtId="0" fontId="7" fillId="0" borderId="22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center" vertical="center"/>
    </xf>
    <xf numFmtId="164" fontId="4" fillId="0" borderId="7" applyAlignment="1" pivotButton="0" quotePrefix="0" xfId="0">
      <alignment horizontal="center" vertical="center"/>
    </xf>
    <xf numFmtId="9" fontId="4" fillId="0" borderId="4" applyAlignment="1" pivotButton="0" quotePrefix="0" xfId="0">
      <alignment horizontal="center" vertical="center"/>
    </xf>
    <xf numFmtId="0" fontId="2" fillId="0" borderId="27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15" applyAlignment="1" pivotButton="0" quotePrefix="0" xfId="0">
      <alignment vertical="center"/>
    </xf>
    <xf numFmtId="0" fontId="4" fillId="0" borderId="16" applyAlignment="1" pivotButton="0" quotePrefix="0" xfId="0">
      <alignment vertical="center"/>
    </xf>
    <xf numFmtId="0" fontId="4" fillId="0" borderId="17" applyAlignment="1" pivotButton="0" quotePrefix="0" xfId="0">
      <alignment horizontal="right" vertical="center"/>
    </xf>
    <xf numFmtId="0" fontId="9" fillId="0" borderId="10" applyAlignment="1" pivotButton="0" quotePrefix="0" xfId="0">
      <alignment horizontal="center" vertical="center"/>
    </xf>
    <xf numFmtId="0" fontId="2" fillId="0" borderId="20" applyAlignment="1" pivotButton="0" quotePrefix="0" xfId="0">
      <alignment vertical="center"/>
    </xf>
    <xf numFmtId="0" fontId="2" fillId="0" borderId="20" applyAlignment="1" pivotButton="0" quotePrefix="0" xfId="0">
      <alignment horizontal="right" vertical="center"/>
    </xf>
    <xf numFmtId="0" fontId="9" fillId="0" borderId="14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right" vertical="center"/>
    </xf>
    <xf numFmtId="0" fontId="4" fillId="0" borderId="13" applyAlignment="1" pivotButton="0" quotePrefix="0" xfId="0">
      <alignment horizontal="right" vertical="center"/>
    </xf>
    <xf numFmtId="0" fontId="9" fillId="0" borderId="25" applyAlignment="1" pivotButton="0" quotePrefix="0" xfId="0">
      <alignment horizontal="center" vertical="center"/>
    </xf>
    <xf numFmtId="0" fontId="2" fillId="0" borderId="26" applyAlignment="1" pivotButton="0" quotePrefix="0" xfId="0">
      <alignment vertical="center"/>
    </xf>
    <xf numFmtId="0" fontId="2" fillId="0" borderId="31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2"/>
    <xf numFmtId="0" fontId="2" fillId="0" borderId="0" applyAlignment="1" pivotButton="0" quotePrefix="0" xfId="2">
      <alignment horizontal="center"/>
    </xf>
    <xf numFmtId="0" fontId="9" fillId="0" borderId="0" applyAlignment="1" pivotButton="0" quotePrefix="0" xfId="0">
      <alignment horizontal="center" vertical="center"/>
    </xf>
    <xf numFmtId="0" fontId="2" fillId="0" borderId="0" pivotButton="0" quotePrefix="0" xfId="1"/>
    <xf numFmtId="165" fontId="2" fillId="0" borderId="32" applyAlignment="1" pivotButton="0" quotePrefix="0" xfId="0">
      <alignment horizontal="center" vertical="center"/>
    </xf>
    <xf numFmtId="0" fontId="6" fillId="0" borderId="0" applyAlignment="1" pivotButton="0" quotePrefix="0" xfId="1">
      <alignment horizontal="right" vertical="center" wrapText="1"/>
    </xf>
    <xf numFmtId="0" fontId="6" fillId="0" borderId="0" applyAlignment="1" pivotButton="0" quotePrefix="0" xfId="1">
      <alignment vertical="center" wrapText="1"/>
    </xf>
    <xf numFmtId="0" fontId="6" fillId="0" borderId="0" applyAlignment="1" pivotButton="0" quotePrefix="0" xfId="1">
      <alignment horizontal="right" vertical="center"/>
    </xf>
    <xf numFmtId="0" fontId="6" fillId="0" borderId="33" applyAlignment="1" pivotButton="0" quotePrefix="0" xfId="1">
      <alignment horizontal="right" vertical="center" wrapText="1"/>
    </xf>
    <xf numFmtId="0" fontId="6" fillId="0" borderId="34" applyAlignment="1" pivotButton="0" quotePrefix="0" xfId="1">
      <alignment horizontal="right" vertical="center" wrapText="1"/>
    </xf>
    <xf numFmtId="0" fontId="6" fillId="0" borderId="35" applyAlignment="1" pivotButton="0" quotePrefix="0" xfId="1">
      <alignment horizontal="right" vertical="center"/>
    </xf>
    <xf numFmtId="164" fontId="2" fillId="0" borderId="4" applyAlignment="1" pivotButton="0" quotePrefix="0" xfId="0">
      <alignment horizontal="right" vertical="center"/>
    </xf>
    <xf numFmtId="164" fontId="4" fillId="0" borderId="12" applyAlignment="1" pivotButton="0" quotePrefix="0" xfId="0">
      <alignment horizontal="right" vertical="center"/>
    </xf>
    <xf numFmtId="164" fontId="2" fillId="0" borderId="28" applyAlignment="1" pivotButton="0" quotePrefix="0" xfId="0">
      <alignment horizontal="center" vertical="center"/>
    </xf>
    <xf numFmtId="164" fontId="5" fillId="0" borderId="29" applyAlignment="1" pivotButton="0" quotePrefix="0" xfId="0">
      <alignment horizontal="center" vertical="center"/>
    </xf>
    <xf numFmtId="164" fontId="2" fillId="0" borderId="30" applyAlignment="1" pivotButton="0" quotePrefix="0" xfId="0">
      <alignment horizontal="center" vertical="center"/>
    </xf>
    <xf numFmtId="164" fontId="3" fillId="0" borderId="28" applyAlignment="1" pivotButton="0" quotePrefix="0" xfId="0">
      <alignment horizontal="center" vertical="center"/>
    </xf>
    <xf numFmtId="164" fontId="3" fillId="0" borderId="36" applyAlignment="1" pivotButton="0" quotePrefix="0" xfId="2">
      <alignment horizontal="center" vertical="center"/>
    </xf>
    <xf numFmtId="166" fontId="4" fillId="0" borderId="0" applyAlignment="1" pivotButton="0" quotePrefix="0" xfId="0">
      <alignment horizontal="left" vertical="center"/>
    </xf>
    <xf numFmtId="0" fontId="11" fillId="0" borderId="0" applyAlignment="1" pivotButton="0" quotePrefix="0" xfId="1">
      <alignment horizontal="left" vertical="center" wrapText="1"/>
    </xf>
    <xf numFmtId="0" fontId="4" fillId="0" borderId="0" applyAlignment="1" pivotButton="0" quotePrefix="0" xfId="0">
      <alignment horizontal="right" vertical="center"/>
    </xf>
    <xf numFmtId="0" fontId="2" fillId="0" borderId="0" applyAlignment="1" pivotButton="0" quotePrefix="0" xfId="2">
      <alignment vertical="center"/>
    </xf>
    <xf numFmtId="0" fontId="4" fillId="0" borderId="1" applyAlignment="1" pivotButton="0" quotePrefix="0" xfId="1">
      <alignment horizontal="right" vertical="center" wrapText="1"/>
    </xf>
    <xf numFmtId="14" fontId="4" fillId="0" borderId="1" applyAlignment="1" pivotButton="0" quotePrefix="0" xfId="1">
      <alignment horizontal="right" vertical="center" wrapText="1"/>
    </xf>
    <xf numFmtId="0" fontId="4" fillId="0" borderId="1" applyAlignment="1" pivotButton="0" quotePrefix="0" xfId="1">
      <alignment horizontal="center" vertical="center" wrapText="1"/>
    </xf>
    <xf numFmtId="14" fontId="4" fillId="0" borderId="1" applyAlignment="1" pivotButton="0" quotePrefix="0" xfId="1">
      <alignment horizontal="left" vertical="center" wrapText="1"/>
    </xf>
    <xf numFmtId="49" fontId="12" fillId="0" borderId="38" applyAlignment="1" pivotButton="0" quotePrefix="0" xfId="3">
      <alignment horizontal="center" vertical="center" wrapText="1" readingOrder="1"/>
    </xf>
    <xf numFmtId="164" fontId="12" fillId="0" borderId="38" applyAlignment="1" pivotButton="0" quotePrefix="0" xfId="3">
      <alignment horizontal="center" vertical="center" wrapText="1" readingOrder="1"/>
    </xf>
    <xf numFmtId="0" fontId="12" fillId="0" borderId="0" applyAlignment="1" pivotButton="0" quotePrefix="0" xfId="3">
      <alignment horizontal="center" vertical="top" wrapText="1"/>
    </xf>
    <xf numFmtId="49" fontId="13" fillId="2" borderId="39" applyAlignment="1" pivotButton="0" quotePrefix="0" xfId="3">
      <alignment horizontal="center" vertical="center" readingOrder="1"/>
    </xf>
    <xf numFmtId="49" fontId="13" fillId="2" borderId="39" applyAlignment="1" pivotButton="0" quotePrefix="0" xfId="3">
      <alignment horizontal="left" vertical="center" readingOrder="1"/>
    </xf>
    <xf numFmtId="0" fontId="13" fillId="2" borderId="39" applyAlignment="1" pivotButton="0" quotePrefix="0" xfId="3">
      <alignment horizontal="center" vertical="center" readingOrder="1"/>
    </xf>
    <xf numFmtId="164" fontId="13" fillId="2" borderId="39" applyAlignment="1" pivotButton="0" quotePrefix="0" xfId="3">
      <alignment horizontal="center" vertical="center" readingOrder="1"/>
    </xf>
    <xf numFmtId="0" fontId="13" fillId="0" borderId="0" applyAlignment="1" pivotButton="0" quotePrefix="0" xfId="3">
      <alignment horizontal="left" vertical="top" wrapText="1"/>
    </xf>
    <xf numFmtId="49" fontId="13" fillId="2" borderId="37" applyAlignment="1" pivotButton="0" quotePrefix="0" xfId="3">
      <alignment horizontal="center" vertical="center" readingOrder="1"/>
    </xf>
    <xf numFmtId="49" fontId="13" fillId="2" borderId="37" applyAlignment="1" pivotButton="0" quotePrefix="0" xfId="3">
      <alignment horizontal="left" vertical="center" readingOrder="1"/>
    </xf>
    <xf numFmtId="0" fontId="13" fillId="2" borderId="37" applyAlignment="1" pivotButton="0" quotePrefix="0" xfId="3">
      <alignment horizontal="center" vertical="center" readingOrder="1"/>
    </xf>
    <xf numFmtId="164" fontId="13" fillId="2" borderId="37" applyAlignment="1" pivotButton="0" quotePrefix="0" xfId="3">
      <alignment horizontal="center" vertical="center" readingOrder="1"/>
    </xf>
    <xf numFmtId="0" fontId="14" fillId="0" borderId="0" applyAlignment="1" pivotButton="0" quotePrefix="0" xfId="3">
      <alignment horizontal="left" vertical="top" wrapText="1"/>
    </xf>
    <xf numFmtId="164" fontId="14" fillId="0" borderId="0" applyAlignment="1" pivotButton="0" quotePrefix="0" xfId="3">
      <alignment horizontal="left" vertical="top" wrapText="1"/>
    </xf>
    <xf numFmtId="164" fontId="13" fillId="0" borderId="0" applyAlignment="1" pivotButton="0" quotePrefix="0" xfId="3">
      <alignment horizontal="left" vertical="top" wrapText="1"/>
    </xf>
    <xf numFmtId="0" fontId="7" fillId="0" borderId="21" applyAlignment="1" pivotButton="0" quotePrefix="0" xfId="0">
      <alignment horizontal="center" vertical="center" wrapText="1"/>
    </xf>
    <xf numFmtId="0" fontId="7" fillId="0" borderId="18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3" applyAlignment="1" pivotButton="0" quotePrefix="0" xfId="0">
      <alignment horizontal="center" vertical="center" wrapText="1"/>
    </xf>
    <xf numFmtId="0" fontId="7" fillId="0" borderId="19" applyAlignment="1" pivotButton="0" quotePrefix="0" xfId="0">
      <alignment horizontal="center" vertical="center" wrapText="1"/>
    </xf>
    <xf numFmtId="0" fontId="6" fillId="0" borderId="36" applyAlignment="1" pivotButton="0" quotePrefix="0" xfId="2">
      <alignment horizontal="right" vertical="center" wrapText="1"/>
    </xf>
    <xf numFmtId="49" fontId="14" fillId="2" borderId="0" applyAlignment="1" pivotButton="0" quotePrefix="0" xfId="3">
      <alignment horizontal="left" vertical="center" wrapText="1" readingOrder="1"/>
    </xf>
    <xf numFmtId="0" fontId="7" fillId="0" borderId="40" applyAlignment="1" pivotButton="0" quotePrefix="0" xfId="0">
      <alignment horizontal="center" vertical="center" wrapText="1"/>
    </xf>
    <xf numFmtId="0" fontId="7" fillId="0" borderId="43" applyAlignment="1" pivotButton="0" quotePrefix="0" xfId="0">
      <alignment horizontal="center" vertical="center" wrapText="1"/>
    </xf>
    <xf numFmtId="0" fontId="0" fillId="0" borderId="3" pivotButton="0" quotePrefix="0" xfId="0"/>
    <xf numFmtId="0" fontId="7" fillId="0" borderId="45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164" fontId="4" fillId="0" borderId="7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164" fontId="2" fillId="0" borderId="4" applyAlignment="1" pivotButton="0" quotePrefix="0" xfId="0">
      <alignment horizontal="right" vertical="center"/>
    </xf>
    <xf numFmtId="164" fontId="4" fillId="0" borderId="12" applyAlignment="1" pivotButton="0" quotePrefix="0" xfId="0">
      <alignment horizontal="right" vertical="center"/>
    </xf>
    <xf numFmtId="164" fontId="2" fillId="0" borderId="28" applyAlignment="1" pivotButton="0" quotePrefix="0" xfId="0">
      <alignment horizontal="center" vertical="center"/>
    </xf>
    <xf numFmtId="164" fontId="5" fillId="0" borderId="29" applyAlignment="1" pivotButton="0" quotePrefix="0" xfId="0">
      <alignment horizontal="center" vertical="center"/>
    </xf>
    <xf numFmtId="164" fontId="2" fillId="0" borderId="30" applyAlignment="1" pivotButton="0" quotePrefix="0" xfId="0">
      <alignment horizontal="center" vertical="center"/>
    </xf>
    <xf numFmtId="164" fontId="3" fillId="0" borderId="28" applyAlignment="1" pivotButton="0" quotePrefix="0" xfId="0">
      <alignment horizontal="center" vertical="center"/>
    </xf>
    <xf numFmtId="165" fontId="2" fillId="0" borderId="3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164" fontId="3" fillId="0" borderId="36" applyAlignment="1" pivotButton="0" quotePrefix="0" xfId="2">
      <alignment horizontal="center" vertical="center"/>
    </xf>
    <xf numFmtId="164" fontId="13" fillId="0" borderId="0" applyAlignment="1" pivotButton="0" quotePrefix="0" xfId="3">
      <alignment horizontal="left" vertical="top" wrapText="1"/>
    </xf>
    <xf numFmtId="164" fontId="12" fillId="0" borderId="38" applyAlignment="1" pivotButton="0" quotePrefix="0" xfId="3">
      <alignment horizontal="center" vertical="center" wrapText="1" readingOrder="1"/>
    </xf>
    <xf numFmtId="164" fontId="13" fillId="2" borderId="39" applyAlignment="1" pivotButton="0" quotePrefix="0" xfId="3">
      <alignment horizontal="center" vertical="center" readingOrder="1"/>
    </xf>
  </cellXfs>
  <cellStyles count="4">
    <cellStyle name="Обычный" xfId="0" builtinId="0"/>
    <cellStyle name="Excel Built-in Normal" xfId="1"/>
    <cellStyle name="Обычный 2 2" xfId="2"/>
    <cellStyle name="Обычный 2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tabSelected="1" zoomScaleNormal="100" workbookViewId="0">
      <selection activeCell="H15" sqref="H15"/>
    </sheetView>
  </sheetViews>
  <sheetFormatPr baseColWidth="8" defaultColWidth="12" defaultRowHeight="12"/>
  <cols>
    <col width="52.5703125" customWidth="1" style="1" min="1" max="1"/>
    <col width="19.5703125" customWidth="1" style="1" min="2" max="2"/>
    <col width="21.28515625" customWidth="1" style="1" min="3" max="3"/>
    <col width="17.140625" customWidth="1" style="2" min="4" max="4"/>
    <col width="12" customWidth="1" style="1" min="5" max="7"/>
    <col width="37" customWidth="1" style="1" min="8" max="8"/>
    <col width="12" customWidth="1" style="1" min="9" max="16384"/>
  </cols>
  <sheetData>
    <row r="1" ht="15" customFormat="1" customHeight="1" s="34">
      <c r="A1" s="40" t="n"/>
      <c r="B1" s="40" t="n"/>
      <c r="C1" s="40" t="n"/>
      <c r="D1" s="41" t="inlineStr">
        <is>
          <t>ОТЧЕТНАЯ ВЕДОМОСТЬ</t>
        </is>
      </c>
    </row>
    <row r="2" ht="15" customFormat="1" customHeight="1" s="34" thickBot="1">
      <c r="A2" s="39" t="n"/>
      <c r="B2" s="39" t="n"/>
      <c r="C2" s="39" t="n"/>
      <c r="D2" s="41" t="inlineStr">
        <is>
          <t>к Лицензионному договору №</t>
        </is>
      </c>
    </row>
    <row r="3" ht="15" customFormat="1" customHeight="1" s="34" thickBot="1" thickTop="1">
      <c r="A3" s="39" t="n"/>
      <c r="B3" s="42" t="n"/>
      <c r="C3" s="43" t="n"/>
      <c r="D3" s="44" t="n"/>
    </row>
    <row r="4" ht="19.8" customFormat="1" customHeight="1" s="55" thickTop="1">
      <c r="A4" s="52">
        <f>SUM(D5)</f>
        <v/>
      </c>
      <c r="B4" s="53" t="n"/>
      <c r="C4" s="53" t="n"/>
      <c r="D4" s="54" t="inlineStr">
        <is>
          <t>г. Москва</t>
        </is>
      </c>
    </row>
    <row r="5" ht="17.4" customFormat="1" customHeight="1" s="55" thickBot="1">
      <c r="A5" s="56" t="inlineStr">
        <is>
          <t>Отчетный период   с</t>
        </is>
      </c>
      <c r="B5" s="57" t="n"/>
      <c r="C5" s="58" t="inlineStr">
        <is>
          <t>по</t>
        </is>
      </c>
      <c r="D5" s="59">
        <f>EOMONTH(B5,2)</f>
        <v/>
      </c>
    </row>
    <row r="6" ht="10.2" customFormat="1" customHeight="1" s="7">
      <c r="A6" s="83" t="inlineStr">
        <is>
          <t>Контрагент</t>
        </is>
      </c>
      <c r="B6" s="84" t="inlineStr">
        <is>
          <t>Реализация</t>
        </is>
      </c>
      <c r="C6" s="85" t="n"/>
      <c r="D6" s="86" t="inlineStr">
        <is>
          <t>Сумма Роялти Лицензиара</t>
        </is>
      </c>
    </row>
    <row r="7" ht="21" customFormat="1" customHeight="1" s="7" thickBot="1">
      <c r="A7" s="87" t="n"/>
      <c r="B7" s="11" t="inlineStr">
        <is>
          <t>Количество</t>
        </is>
      </c>
      <c r="C7" s="11" t="inlineStr">
        <is>
          <t>Сумма Реализации (Доход Лицензиата)</t>
        </is>
      </c>
      <c r="D7" s="88" t="n"/>
    </row>
    <row r="8" ht="20.4" customFormat="1" customHeight="1" s="7" thickBot="1" thickTop="1">
      <c r="A8" s="12" t="n"/>
      <c r="B8" s="5" t="n"/>
      <c r="C8" s="89" t="n"/>
      <c r="D8" s="90" t="n"/>
    </row>
    <row r="9" ht="17.4" customFormat="1" customHeight="1" s="7" thickBot="1">
      <c r="B9" s="8" t="inlineStr">
        <is>
          <t>Сумма НДС</t>
        </is>
      </c>
      <c r="C9" s="14" t="n"/>
      <c r="D9" s="91">
        <f>SUM(D8*C9)</f>
        <v/>
      </c>
    </row>
    <row r="10" ht="19.8" customFormat="1" customHeight="1" s="7" thickBot="1" thickTop="1">
      <c r="A10" s="15" t="n"/>
      <c r="B10" s="9" t="n"/>
      <c r="C10" s="10" t="inlineStr">
        <is>
          <t>Роялти с учетом факта НДС</t>
        </is>
      </c>
      <c r="D10" s="92">
        <f>SUM(D8:D9)</f>
        <v/>
      </c>
    </row>
    <row r="11" ht="13.2" customFormat="1" customHeight="1" s="7" thickBot="1" thickTop="1">
      <c r="A11" s="16" t="n"/>
      <c r="B11" s="16" t="n"/>
      <c r="C11" s="16" t="n"/>
      <c r="D11" s="16" t="n"/>
    </row>
    <row r="12" ht="13.2" customFormat="1" customHeight="1" s="7" thickBot="1" thickTop="1">
      <c r="A12" s="17" t="n"/>
      <c r="B12" s="18" t="n"/>
      <c r="C12" s="18" t="n"/>
      <c r="D12" s="19" t="inlineStr">
        <is>
          <t>Сверка расчетов</t>
        </is>
      </c>
    </row>
    <row r="13" ht="13.8" customFormat="1" customHeight="1" s="7" thickTop="1">
      <c r="A13" s="20" t="n"/>
      <c r="B13" s="21" t="n"/>
      <c r="C13" s="22" t="inlineStr">
        <is>
          <t xml:space="preserve">Предыдущий накопительный итог Роялти </t>
        </is>
      </c>
      <c r="D13" s="93" t="n">
        <v>0</v>
      </c>
    </row>
    <row r="14" ht="13.2" customFormat="1" customHeight="1" s="7">
      <c r="A14" s="23" t="n"/>
      <c r="B14" s="24" t="inlineStr">
        <is>
          <t>Выплачено Роялти</t>
        </is>
      </c>
      <c r="C14" s="25" t="n"/>
      <c r="D14" s="94" t="n">
        <v>0</v>
      </c>
    </row>
    <row r="15" ht="13.8" customFormat="1" customHeight="1" s="7" thickBot="1">
      <c r="A15" s="26" t="n"/>
      <c r="B15" s="27" t="n"/>
      <c r="C15" s="28" t="inlineStr">
        <is>
          <t xml:space="preserve">Роялти по данному Отчету </t>
        </is>
      </c>
      <c r="D15" s="95">
        <f>SUM(D10)</f>
        <v/>
      </c>
    </row>
    <row r="16" ht="13.8" customFormat="1" customHeight="1" s="7" thickTop="1">
      <c r="A16" s="20" t="n"/>
      <c r="B16" s="21" t="n"/>
      <c r="C16" s="29" t="inlineStr">
        <is>
          <t xml:space="preserve">Накопительный итог (Роялти к выплате) </t>
        </is>
      </c>
      <c r="D16" s="96">
        <f>SUM(D13-D14+D15)</f>
        <v/>
      </c>
    </row>
    <row r="17" ht="13.8" customFormat="1" customHeight="1" s="7" thickBot="1">
      <c r="A17" s="30" t="n"/>
      <c r="B17" s="31" t="n"/>
      <c r="C17" s="32" t="inlineStr">
        <is>
          <t xml:space="preserve"> НДС </t>
        </is>
      </c>
      <c r="D17" s="97" t="inlineStr">
        <is>
          <t>не облагается</t>
        </is>
      </c>
    </row>
    <row r="18" ht="13.2" customFormat="1" customHeight="1" s="7" thickBot="1" thickTop="1">
      <c r="D18" s="33" t="n"/>
    </row>
    <row r="19" ht="28.2" customFormat="1" customHeight="1" s="7" thickBot="1" thickTop="1">
      <c r="A19" s="81" t="inlineStr">
        <is>
          <t xml:space="preserve">Итого по Отчету сумма Роялти Лицензиара составляет  </t>
        </is>
      </c>
      <c r="B19" s="98" t="n"/>
      <c r="C19" s="99" t="n"/>
      <c r="D19" s="100">
        <f>SUM(D16)</f>
        <v/>
      </c>
    </row>
    <row r="20" ht="12.6" customHeight="1" thickTop="1">
      <c r="A20" s="34" t="n"/>
      <c r="B20" s="34" t="n"/>
      <c r="C20" s="34" t="n"/>
      <c r="D20" s="35" t="n"/>
    </row>
    <row r="21" ht="13.2" customHeight="1">
      <c r="A21" s="4" t="n"/>
      <c r="C21" s="3" t="inlineStr">
        <is>
          <t>Лицензиат: ООО «Медиа Лэнд»</t>
        </is>
      </c>
      <c r="D21" s="36" t="n"/>
    </row>
    <row r="22" ht="13.2" customHeight="1">
      <c r="A22" s="37" t="n"/>
      <c r="C22" s="3" t="n"/>
      <c r="D22" s="36" t="n"/>
    </row>
    <row r="23">
      <c r="A23" s="4" t="inlineStr">
        <is>
          <t>Отчет согласовал</t>
        </is>
      </c>
      <c r="B23" s="3" t="n"/>
      <c r="C23" s="3" t="n"/>
      <c r="D23" s="1" t="n"/>
    </row>
    <row r="24" ht="25.8" customHeight="1">
      <c r="A24" s="4" t="inlineStr">
        <is>
          <t>________________</t>
        </is>
      </c>
      <c r="B24" s="3" t="n"/>
      <c r="C24" s="3" t="n"/>
    </row>
  </sheetData>
  <mergeCells count="4">
    <mergeCell ref="D6:D7"/>
    <mergeCell ref="B6:C6"/>
    <mergeCell ref="A19:C19"/>
    <mergeCell ref="A6:A7"/>
  </mergeCells>
  <pageMargins left="0.7" right="0.7" top="0.75" bottom="0.75" header="0.3" footer="0.3"/>
  <pageSetup orientation="portrait" paperSize="9" horizontalDpi="300" verticalDpi="0" copies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3.2"/>
  <cols>
    <col width="8" bestFit="1" customWidth="1" style="67" min="1" max="1"/>
    <col width="19.140625" customWidth="1" style="67" min="2" max="3"/>
    <col width="9.140625" bestFit="1" customWidth="1" style="67" min="4" max="4"/>
    <col width="8.42578125" bestFit="1" customWidth="1" style="67" min="5" max="5"/>
    <col width="10.28515625" bestFit="1" customWidth="1" style="67" min="6" max="6"/>
    <col width="13.5703125" customWidth="1" style="101" min="7" max="7"/>
    <col width="9" bestFit="1" customWidth="1" style="67" min="8" max="8"/>
    <col width="10.28515625" bestFit="1" customWidth="1" style="101" min="9" max="9"/>
    <col width="8.140625" bestFit="1" customWidth="1" style="67" min="10" max="10"/>
    <col width="11.28515625" bestFit="1" customWidth="1" style="101" min="11" max="11"/>
    <col width="13.42578125" customWidth="1" style="101" min="12" max="12"/>
    <col width="9.140625" customWidth="1" style="67" min="13" max="16384"/>
  </cols>
  <sheetData>
    <row r="1" ht="31.2" customFormat="1" customHeight="1" s="62" thickBot="1">
      <c r="A1" s="60" t="inlineStr">
        <is>
          <t>Код</t>
        </is>
      </c>
      <c r="B1" s="60" t="inlineStr">
        <is>
          <t>Название</t>
        </is>
      </c>
      <c r="C1" s="60" t="inlineStr">
        <is>
          <t>Исполнитель</t>
        </is>
      </c>
      <c r="D1" s="60" t="inlineStr">
        <is>
          <t>Доля Авторских прав</t>
        </is>
      </c>
      <c r="E1" s="60" t="inlineStr">
        <is>
          <t>Доля Смежных прав</t>
        </is>
      </c>
      <c r="F1" s="60" t="inlineStr">
        <is>
          <t>Количество</t>
        </is>
      </c>
      <c r="G1" s="102" t="inlineStr">
        <is>
          <t>Сумма реализации Лицензиара</t>
        </is>
      </c>
      <c r="H1" s="60" t="inlineStr">
        <is>
          <t>Ставка авторские права</t>
        </is>
      </c>
      <c r="I1" s="102" t="inlineStr">
        <is>
          <t>Лицензиар Роялти авторские</t>
        </is>
      </c>
      <c r="J1" s="60" t="inlineStr">
        <is>
          <t>Ставка смежные права</t>
        </is>
      </c>
      <c r="K1" s="102" t="inlineStr">
        <is>
          <t>Лицензиар Роялти смежные</t>
        </is>
      </c>
      <c r="L1" s="102" t="inlineStr">
        <is>
          <t>Лицензиар Роялти итого</t>
        </is>
      </c>
    </row>
    <row r="2">
      <c r="A2" s="63" t="n"/>
      <c r="B2" s="64" t="n"/>
      <c r="C2" s="64" t="n"/>
      <c r="D2" s="65" t="n"/>
      <c r="E2" s="65" t="n"/>
      <c r="F2" s="65" t="n"/>
      <c r="G2" s="103" t="n"/>
      <c r="H2" s="65" t="n"/>
      <c r="I2" s="103" t="n"/>
      <c r="J2" s="65" t="n"/>
      <c r="K2" s="103" t="n"/>
      <c r="L2" s="103" t="n"/>
    </row>
    <row r="59" customFormat="1" s="72"/>
    <row r="61" ht="14.25" customFormat="1" customHeight="1" s="72"/>
  </sheetData>
  <pageMargins left="0.39" right="0.39" top="0.39" bottom="0.39" header="0" footer="0"/>
  <pageSetup orientation="landscape" paperSize="256" firstPageNumber="0" useFirstPageNumber="1" errors="blank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Marianna Guerous</dc:creator>
  <dcterms:created xmlns:dcterms="http://purl.org/dc/terms/" xmlns:xsi="http://www.w3.org/2001/XMLSchema-instance" xsi:type="dcterms:W3CDTF">2014-02-18T14:25:47Z</dcterms:created>
  <dcterms:modified xmlns:dcterms="http://purl.org/dc/terms/" xmlns:xsi="http://www.w3.org/2001/XMLSchema-instance" xsi:type="dcterms:W3CDTF">2026-09-24T22:47:53Z</dcterms:modified>
  <cp:lastModifiedBy>Kayurov Pavel</cp:lastModifiedBy>
  <cp:lastPrinted>2021-10-14T10:23:13Z</cp:lastPrinted>
</cp:coreProperties>
</file>